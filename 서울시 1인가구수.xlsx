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<sst xmlns="http://schemas.openxmlformats.org/spreadsheetml/2006/main" count="58" uniqueCount="50">
  <si>
    <t>자치구별</t>
  </si>
  <si>
    <t>1인 가구 (거처종류별)</t>
  </si>
  <si>
    <t>호수</t>
  </si>
  <si>
    <t>전세</t>
  </si>
  <si>
    <t>월세</t>
  </si>
  <si>
    <t>범죄 발생 현황</t>
  </si>
  <si>
    <t>인프라</t>
  </si>
  <si>
    <t>보증금</t>
  </si>
  <si>
    <t>총</t>
  </si>
  <si>
    <t>단독주택</t>
  </si>
  <si>
    <t>아파트</t>
  </si>
  <si>
    <t>연립주택</t>
  </si>
  <si>
    <t>다세대주택</t>
  </si>
  <si>
    <t>비주거용 건물내 주택</t>
  </si>
  <si>
    <t>주택이외의 거처</t>
  </si>
  <si>
    <t>원룸 및 오피스텔</t>
  </si>
  <si>
    <t>빈집</t>
  </si>
  <si>
    <t>평균</t>
  </si>
  <si>
    <t>최대</t>
  </si>
  <si>
    <t>최소</t>
  </si>
  <si>
    <t>발생</t>
  </si>
  <si>
    <t>검거</t>
  </si>
  <si>
    <t>검거율</t>
  </si>
  <si>
    <t>순위</t>
  </si>
  <si>
    <t>대규모점포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</si>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</sst>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맑은 고딕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</font>
    <font>
      <sz val="11.0"/>
      <color rgb="FF000000"/>
      <name val="맑은 고딕"/>
    </font>
    <font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CCCE0"/>
        <bgColor rgb="FFBCCCE0"/>
      </patternFill>
    </fill>
    <fill>
      <patternFill patternType="solid">
        <fgColor rgb="FFF0EBD7"/>
        <bgColor rgb="FFF0EBD7"/>
      </patternFill>
    </fill>
    <fill>
      <patternFill patternType="solid">
        <fgColor rgb="FFE2ECF8"/>
        <bgColor rgb="FFE2ECF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3" fontId="6" numFmtId="0" xfId="0" applyAlignment="1" applyFill="1" applyFont="1">
      <alignment horizontal="center" readingOrder="0" vertical="center"/>
    </xf>
    <xf borderId="0" fillId="3" fontId="7" numFmtId="0" xfId="0" applyAlignment="1" applyFont="1">
      <alignment horizontal="center" vertical="center"/>
    </xf>
    <xf borderId="0" fillId="3" fontId="6" numFmtId="164" xfId="0" applyAlignment="1" applyFont="1" applyNumberForma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3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8.63"/>
    <col customWidth="1" min="3" max="3" width="7.75"/>
    <col customWidth="1" min="4" max="4" width="6.63"/>
    <col customWidth="1" min="5" max="5" width="7.75"/>
    <col customWidth="1" min="6" max="6" width="9.38"/>
    <col customWidth="1" min="7" max="7" width="17.25"/>
    <col customWidth="1" min="8" max="8" width="13.25"/>
    <col customWidth="1" min="9" max="9" width="13.88"/>
    <col customWidth="1" min="10" max="10" width="4.38"/>
    <col customWidth="1" min="11" max="11" width="7.0"/>
    <col customWidth="1" min="12" max="12" width="6.5"/>
    <col customWidth="1" min="13" max="13" width="5.63"/>
    <col customWidth="1" min="14" max="14" width="5.0"/>
    <col customWidth="1" min="15" max="15" width="4.75"/>
    <col customWidth="1" min="16" max="16" width="4.38"/>
    <col customWidth="1" min="17" max="17" width="7.0"/>
    <col customWidth="1" min="18" max="18" width="6.5"/>
    <col customWidth="1" min="19" max="19" width="4.38"/>
    <col customWidth="1" min="20" max="20" width="5.88"/>
    <col customWidth="1" min="21" max="21" width="5.63"/>
    <col customWidth="1" min="22" max="22" width="6.13"/>
    <col customWidth="1" min="23" max="23" width="4.38"/>
    <col customWidth="1" min="24" max="24" width="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1"/>
      <c r="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1"/>
      <c r="X2" s="1"/>
    </row>
    <row r="3">
      <c r="A3" s="3" t="s">
        <v>0</v>
      </c>
      <c r="B3" s="4" t="s">
        <v>1</v>
      </c>
      <c r="I3" s="5" t="s">
        <v>2</v>
      </c>
      <c r="K3" s="4" t="s">
        <v>3</v>
      </c>
      <c r="N3" s="6" t="s">
        <v>4</v>
      </c>
      <c r="T3" s="6" t="s">
        <v>5</v>
      </c>
      <c r="X3" s="6" t="s">
        <v>6</v>
      </c>
    </row>
    <row r="4">
      <c r="K4" s="4" t="s">
        <v>7</v>
      </c>
      <c r="N4" s="6" t="s">
        <v>4</v>
      </c>
      <c r="Q4" s="4" t="s">
        <v>7</v>
      </c>
    </row>
    <row r="5"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  <c r="N5" s="8" t="s">
        <v>17</v>
      </c>
      <c r="O5" s="8" t="s">
        <v>18</v>
      </c>
      <c r="P5" s="8" t="s">
        <v>19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9" t="s">
        <v>22</v>
      </c>
      <c r="W5" s="7" t="s">
        <v>23</v>
      </c>
      <c r="X5" s="7" t="s">
        <v>24</v>
      </c>
    </row>
    <row r="6">
      <c r="A6" s="10" t="s">
        <v>25</v>
      </c>
      <c r="B6" s="11">
        <v>79274.0</v>
      </c>
      <c r="C6" s="11">
        <v>18472.0</v>
      </c>
      <c r="D6" s="11">
        <v>28765.0</v>
      </c>
      <c r="E6" s="11">
        <v>1285.0</v>
      </c>
      <c r="F6" s="11">
        <v>15250.0</v>
      </c>
      <c r="G6" s="11">
        <v>2102.0</v>
      </c>
      <c r="H6" s="11">
        <v>13400.0</v>
      </c>
      <c r="I6" s="12">
        <v>31487.0</v>
      </c>
      <c r="J6" s="12">
        <v>48.0</v>
      </c>
      <c r="K6" s="12">
        <v>80663.0</v>
      </c>
      <c r="L6" s="12">
        <v>378000.0</v>
      </c>
      <c r="M6" s="12">
        <v>10410.0</v>
      </c>
      <c r="N6" s="13">
        <v>147.0</v>
      </c>
      <c r="O6" s="13">
        <v>1750.0</v>
      </c>
      <c r="P6" s="13">
        <v>3.0</v>
      </c>
      <c r="Q6" s="12">
        <v>24157.0</v>
      </c>
      <c r="R6" s="12">
        <v>240000.0</v>
      </c>
      <c r="S6" s="12">
        <v>0.0</v>
      </c>
      <c r="T6" s="14">
        <v>6107.0</v>
      </c>
      <c r="U6" s="14">
        <v>4570.0</v>
      </c>
      <c r="V6" s="15">
        <f t="shared" ref="V6:V30" si="1">DIVIDE(U6,T6)</f>
        <v>0.7483215982</v>
      </c>
      <c r="W6" s="12">
        <f t="shared" ref="W6:W30" si="2">rank(V6,$V$6:$V$30)</f>
        <v>17</v>
      </c>
      <c r="X6" s="12">
        <v>52.0</v>
      </c>
    </row>
    <row r="7">
      <c r="A7" s="10" t="s">
        <v>26</v>
      </c>
      <c r="B7" s="11">
        <v>65601.0</v>
      </c>
      <c r="C7" s="11">
        <v>20683.0</v>
      </c>
      <c r="D7" s="11">
        <v>18290.0</v>
      </c>
      <c r="E7" s="16">
        <v>614.0</v>
      </c>
      <c r="F7" s="11">
        <v>15074.0</v>
      </c>
      <c r="G7" s="11">
        <v>1828.0</v>
      </c>
      <c r="H7" s="11">
        <v>9112.0</v>
      </c>
      <c r="I7" s="12">
        <v>11577.0</v>
      </c>
      <c r="J7" s="12">
        <v>204.0</v>
      </c>
      <c r="K7" s="12">
        <v>24157.0</v>
      </c>
      <c r="L7" s="12">
        <v>140000.0</v>
      </c>
      <c r="M7" s="12">
        <v>3000.0</v>
      </c>
      <c r="N7" s="13">
        <v>68.0</v>
      </c>
      <c r="O7" s="13">
        <v>400.0</v>
      </c>
      <c r="P7" s="13">
        <v>2.0</v>
      </c>
      <c r="Q7" s="12">
        <v>12498.0</v>
      </c>
      <c r="R7" s="12">
        <v>80000.0</v>
      </c>
      <c r="S7" s="12">
        <v>0.0</v>
      </c>
      <c r="T7" s="14">
        <v>3350.0</v>
      </c>
      <c r="U7" s="14">
        <v>2510.0</v>
      </c>
      <c r="V7" s="15">
        <f t="shared" si="1"/>
        <v>0.7492537313</v>
      </c>
      <c r="W7" s="12">
        <f t="shared" si="2"/>
        <v>16</v>
      </c>
      <c r="X7" s="12">
        <v>57.0</v>
      </c>
    </row>
    <row r="8">
      <c r="A8" s="10" t="s">
        <v>27</v>
      </c>
      <c r="B8" s="11">
        <v>53705.0</v>
      </c>
      <c r="C8" s="11">
        <v>22994.0</v>
      </c>
      <c r="D8" s="11">
        <v>10040.0</v>
      </c>
      <c r="E8" s="11">
        <v>1430.0</v>
      </c>
      <c r="F8" s="11">
        <v>14108.0</v>
      </c>
      <c r="G8" s="11">
        <v>1028.0</v>
      </c>
      <c r="H8" s="11">
        <v>4105.0</v>
      </c>
      <c r="I8" s="12">
        <v>3764.0</v>
      </c>
      <c r="J8" s="12">
        <v>512.0</v>
      </c>
      <c r="K8" s="12">
        <v>26260.0</v>
      </c>
      <c r="L8" s="12">
        <v>73000.0</v>
      </c>
      <c r="M8" s="12">
        <v>1000.0</v>
      </c>
      <c r="N8" s="13">
        <v>56.0</v>
      </c>
      <c r="O8" s="13">
        <v>270.0</v>
      </c>
      <c r="P8" s="13">
        <v>1.0</v>
      </c>
      <c r="Q8" s="12">
        <v>3041.0</v>
      </c>
      <c r="R8" s="12">
        <v>40000.0</v>
      </c>
      <c r="S8" s="12">
        <v>0.0</v>
      </c>
      <c r="T8" s="14">
        <v>2289.0</v>
      </c>
      <c r="U8" s="14">
        <v>2061.0</v>
      </c>
      <c r="V8" s="15">
        <f t="shared" si="1"/>
        <v>0.9003931848</v>
      </c>
      <c r="W8" s="12">
        <f t="shared" si="2"/>
        <v>2</v>
      </c>
      <c r="X8" s="12">
        <v>25.0</v>
      </c>
    </row>
    <row r="9">
      <c r="A9" s="10" t="s">
        <v>28</v>
      </c>
      <c r="B9" s="11">
        <v>106748.0</v>
      </c>
      <c r="C9" s="11">
        <v>17391.0</v>
      </c>
      <c r="D9" s="11">
        <v>31079.0</v>
      </c>
      <c r="E9" s="11">
        <v>1246.0</v>
      </c>
      <c r="F9" s="11">
        <v>23892.0</v>
      </c>
      <c r="G9" s="16">
        <v>959.0</v>
      </c>
      <c r="H9" s="11">
        <v>32181.0</v>
      </c>
      <c r="I9" s="12">
        <v>41571.0</v>
      </c>
      <c r="J9" s="12">
        <v>295.0</v>
      </c>
      <c r="K9" s="12">
        <v>36308.0</v>
      </c>
      <c r="L9" s="12">
        <v>110000.0</v>
      </c>
      <c r="M9" s="12">
        <v>4000.0</v>
      </c>
      <c r="N9" s="13">
        <v>55.0</v>
      </c>
      <c r="O9" s="13">
        <v>320.0</v>
      </c>
      <c r="P9" s="13">
        <v>3.0</v>
      </c>
      <c r="Q9" s="12">
        <v>7979.0</v>
      </c>
      <c r="R9" s="12">
        <v>85000.0</v>
      </c>
      <c r="S9" s="12">
        <v>0.0</v>
      </c>
      <c r="T9" s="14">
        <v>4008.0</v>
      </c>
      <c r="U9" s="14">
        <v>3411.0</v>
      </c>
      <c r="V9" s="15">
        <f t="shared" si="1"/>
        <v>0.8510479042</v>
      </c>
      <c r="W9" s="12">
        <f t="shared" si="2"/>
        <v>3</v>
      </c>
      <c r="X9" s="12">
        <v>40.0</v>
      </c>
    </row>
    <row r="10">
      <c r="A10" s="10" t="s">
        <v>29</v>
      </c>
      <c r="B10" s="11">
        <v>153605.0</v>
      </c>
      <c r="C10" s="11">
        <v>78081.0</v>
      </c>
      <c r="D10" s="11">
        <v>16179.0</v>
      </c>
      <c r="E10" s="11">
        <v>1575.0</v>
      </c>
      <c r="F10" s="11">
        <v>17782.0</v>
      </c>
      <c r="G10" s="11">
        <v>12957.0</v>
      </c>
      <c r="H10" s="11">
        <v>27031.0</v>
      </c>
      <c r="I10" s="12">
        <v>17149.0</v>
      </c>
      <c r="J10" s="12">
        <v>237.0</v>
      </c>
      <c r="K10" s="12">
        <v>29671.0</v>
      </c>
      <c r="L10" s="12">
        <v>79000.0</v>
      </c>
      <c r="M10" s="12">
        <v>2000.0</v>
      </c>
      <c r="N10" s="13">
        <v>55.0</v>
      </c>
      <c r="O10" s="13">
        <v>300.0</v>
      </c>
      <c r="P10" s="13">
        <v>1.0</v>
      </c>
      <c r="Q10" s="12">
        <v>4680.0</v>
      </c>
      <c r="R10" s="12">
        <v>60000.0</v>
      </c>
      <c r="S10" s="12">
        <v>0.0</v>
      </c>
      <c r="T10" s="14">
        <v>4485.0</v>
      </c>
      <c r="U10" s="14">
        <v>3516.0</v>
      </c>
      <c r="V10" s="15">
        <f t="shared" si="1"/>
        <v>0.7839464883</v>
      </c>
      <c r="W10" s="12">
        <f t="shared" si="2"/>
        <v>8</v>
      </c>
      <c r="X10" s="12">
        <v>29.0</v>
      </c>
    </row>
    <row r="11">
      <c r="A11" s="10" t="s">
        <v>30</v>
      </c>
      <c r="B11" s="11">
        <v>72933.0</v>
      </c>
      <c r="C11" s="11">
        <v>37813.0</v>
      </c>
      <c r="D11" s="11">
        <v>5970.0</v>
      </c>
      <c r="E11" s="16">
        <v>920.0</v>
      </c>
      <c r="F11" s="11">
        <v>15640.0</v>
      </c>
      <c r="G11" s="11">
        <v>2725.0</v>
      </c>
      <c r="H11" s="11">
        <v>9865.0</v>
      </c>
      <c r="I11" s="12">
        <v>12004.0</v>
      </c>
      <c r="J11" s="12">
        <v>141.0</v>
      </c>
      <c r="K11" s="12">
        <v>39472.0</v>
      </c>
      <c r="L11" s="12">
        <v>175000.0</v>
      </c>
      <c r="M11" s="12">
        <v>5000.0</v>
      </c>
      <c r="N11" s="13">
        <v>68.0</v>
      </c>
      <c r="O11" s="13">
        <v>800.0</v>
      </c>
      <c r="P11" s="13">
        <v>1.0</v>
      </c>
      <c r="Q11" s="12">
        <v>7282.0</v>
      </c>
      <c r="R11" s="12">
        <v>135000.0</v>
      </c>
      <c r="S11" s="12">
        <v>0.0</v>
      </c>
      <c r="T11" s="14">
        <v>2870.0</v>
      </c>
      <c r="U11" s="14">
        <v>2219.0</v>
      </c>
      <c r="V11" s="15">
        <f t="shared" si="1"/>
        <v>0.7731707317</v>
      </c>
      <c r="W11" s="12">
        <f t="shared" si="2"/>
        <v>12</v>
      </c>
      <c r="X11" s="12">
        <v>31.0</v>
      </c>
    </row>
    <row r="12">
      <c r="A12" s="10" t="s">
        <v>31</v>
      </c>
      <c r="B12" s="11">
        <v>62632.0</v>
      </c>
      <c r="C12" s="11">
        <v>15546.0</v>
      </c>
      <c r="D12" s="11">
        <v>17123.0</v>
      </c>
      <c r="E12" s="11">
        <v>2018.0</v>
      </c>
      <c r="F12" s="11">
        <v>9325.0</v>
      </c>
      <c r="G12" s="16">
        <v>992.0</v>
      </c>
      <c r="H12" s="11">
        <v>17628.0</v>
      </c>
      <c r="I12" s="12">
        <v>20668.0</v>
      </c>
      <c r="J12" s="12">
        <v>157.0</v>
      </c>
      <c r="K12" s="12">
        <v>33579.0</v>
      </c>
      <c r="L12" s="12">
        <v>110000.0</v>
      </c>
      <c r="M12" s="12">
        <v>3000.0</v>
      </c>
      <c r="N12" s="13">
        <v>58.0</v>
      </c>
      <c r="O12" s="13">
        <v>220.0</v>
      </c>
      <c r="P12" s="13">
        <v>1.0</v>
      </c>
      <c r="Q12" s="12">
        <v>6571.0</v>
      </c>
      <c r="R12" s="12">
        <v>68000.0</v>
      </c>
      <c r="S12" s="12">
        <v>0.0</v>
      </c>
      <c r="T12" s="14">
        <v>3378.0</v>
      </c>
      <c r="U12" s="14">
        <v>2463.0</v>
      </c>
      <c r="V12" s="15">
        <f t="shared" si="1"/>
        <v>0.7291296625</v>
      </c>
      <c r="W12" s="12">
        <f t="shared" si="2"/>
        <v>21</v>
      </c>
      <c r="X12" s="12">
        <v>47.0</v>
      </c>
    </row>
    <row r="13">
      <c r="A13" s="10" t="s">
        <v>32</v>
      </c>
      <c r="B13" s="11">
        <v>53858.0</v>
      </c>
      <c r="C13" s="11">
        <v>16243.0</v>
      </c>
      <c r="D13" s="11">
        <v>8393.0</v>
      </c>
      <c r="E13" s="11">
        <v>1097.0</v>
      </c>
      <c r="F13" s="11">
        <v>9227.0</v>
      </c>
      <c r="G13" s="11">
        <v>1215.0</v>
      </c>
      <c r="H13" s="11">
        <v>17683.0</v>
      </c>
      <c r="I13" s="12">
        <v>19015.0</v>
      </c>
      <c r="J13" s="12">
        <v>21.0</v>
      </c>
      <c r="K13" s="12">
        <v>22945.0</v>
      </c>
      <c r="L13" s="12">
        <v>75000.0</v>
      </c>
      <c r="M13" s="12">
        <v>2500.0</v>
      </c>
      <c r="N13" s="13">
        <v>54.0</v>
      </c>
      <c r="O13" s="13">
        <v>250.0</v>
      </c>
      <c r="P13" s="13">
        <v>2.0</v>
      </c>
      <c r="Q13" s="12">
        <v>5688.0</v>
      </c>
      <c r="R13" s="12">
        <v>62000.0</v>
      </c>
      <c r="S13" s="12">
        <v>0.0</v>
      </c>
      <c r="T13" s="14">
        <v>2017.0</v>
      </c>
      <c r="U13" s="14">
        <v>1710.0</v>
      </c>
      <c r="V13" s="15">
        <f t="shared" si="1"/>
        <v>0.8477937531</v>
      </c>
      <c r="W13" s="12">
        <f t="shared" si="2"/>
        <v>4</v>
      </c>
      <c r="X13" s="12">
        <v>26.0</v>
      </c>
    </row>
    <row r="14">
      <c r="A14" s="10" t="s">
        <v>33</v>
      </c>
      <c r="B14" s="11">
        <v>67182.0</v>
      </c>
      <c r="C14" s="11">
        <v>12676.0</v>
      </c>
      <c r="D14" s="11">
        <v>43390.0</v>
      </c>
      <c r="E14" s="16">
        <v>935.0</v>
      </c>
      <c r="F14" s="11">
        <v>6206.0</v>
      </c>
      <c r="G14" s="11">
        <v>1135.0</v>
      </c>
      <c r="H14" s="11">
        <v>2840.0</v>
      </c>
      <c r="I14" s="12">
        <v>2755.0</v>
      </c>
      <c r="J14" s="12">
        <v>373.0</v>
      </c>
      <c r="K14" s="12">
        <v>32830.0</v>
      </c>
      <c r="L14" s="12">
        <v>90000.0</v>
      </c>
      <c r="M14" s="12">
        <v>6000.0</v>
      </c>
      <c r="N14" s="13">
        <v>62.0</v>
      </c>
      <c r="O14" s="13">
        <v>245.0</v>
      </c>
      <c r="P14" s="13">
        <v>2.0</v>
      </c>
      <c r="Q14" s="12">
        <v>5235.0</v>
      </c>
      <c r="R14" s="12">
        <v>54000.0</v>
      </c>
      <c r="S14" s="12">
        <v>0.0</v>
      </c>
      <c r="T14" s="14">
        <v>3101.0</v>
      </c>
      <c r="U14" s="14">
        <v>2409.0</v>
      </c>
      <c r="V14" s="15">
        <f t="shared" si="1"/>
        <v>0.7768461787</v>
      </c>
      <c r="W14" s="12">
        <f t="shared" si="2"/>
        <v>11</v>
      </c>
      <c r="X14" s="12">
        <v>29.0</v>
      </c>
    </row>
    <row r="15">
      <c r="A15" s="10" t="s">
        <v>34</v>
      </c>
      <c r="B15" s="11">
        <v>43347.0</v>
      </c>
      <c r="C15" s="11">
        <v>13138.0</v>
      </c>
      <c r="D15" s="11">
        <v>13877.0</v>
      </c>
      <c r="E15" s="11">
        <v>1043.0</v>
      </c>
      <c r="F15" s="11">
        <v>9799.0</v>
      </c>
      <c r="G15" s="16">
        <v>573.0</v>
      </c>
      <c r="H15" s="11">
        <v>4917.0</v>
      </c>
      <c r="I15" s="12">
        <v>4298.0</v>
      </c>
      <c r="J15" s="12">
        <v>321.0</v>
      </c>
      <c r="K15" s="12">
        <v>29666.0</v>
      </c>
      <c r="L15" s="12">
        <v>80000.0</v>
      </c>
      <c r="M15" s="12">
        <v>4000.0</v>
      </c>
      <c r="N15" s="13">
        <v>59.0</v>
      </c>
      <c r="O15" s="13">
        <v>167.0</v>
      </c>
      <c r="P15" s="13">
        <v>3.0</v>
      </c>
      <c r="Q15" s="12">
        <v>5292.0</v>
      </c>
      <c r="R15" s="12">
        <v>50000.0</v>
      </c>
      <c r="S15" s="12">
        <v>50.0</v>
      </c>
      <c r="T15" s="14">
        <v>1741.0</v>
      </c>
      <c r="U15" s="14">
        <v>1379.0</v>
      </c>
      <c r="V15" s="15">
        <f t="shared" si="1"/>
        <v>0.792073521</v>
      </c>
      <c r="W15" s="12">
        <f t="shared" si="2"/>
        <v>7</v>
      </c>
      <c r="X15" s="12">
        <v>17.0</v>
      </c>
    </row>
    <row r="16">
      <c r="A16" s="10" t="s">
        <v>35</v>
      </c>
      <c r="B16" s="11">
        <v>72355.0</v>
      </c>
      <c r="C16" s="11">
        <v>29065.0</v>
      </c>
      <c r="D16" s="11">
        <v>17132.0</v>
      </c>
      <c r="E16" s="11">
        <v>1002.0</v>
      </c>
      <c r="F16" s="11">
        <v>7505.0</v>
      </c>
      <c r="G16" s="11">
        <v>2471.0</v>
      </c>
      <c r="H16" s="11">
        <v>15180.0</v>
      </c>
      <c r="I16" s="12">
        <v>16295.0</v>
      </c>
      <c r="J16" s="12">
        <v>235.0</v>
      </c>
      <c r="K16" s="12">
        <v>35336.0</v>
      </c>
      <c r="L16" s="12">
        <v>95000.0</v>
      </c>
      <c r="M16" s="12">
        <v>4000.0</v>
      </c>
      <c r="N16" s="13">
        <v>65.0</v>
      </c>
      <c r="O16" s="13">
        <v>400.0</v>
      </c>
      <c r="P16" s="13">
        <v>1.0</v>
      </c>
      <c r="Q16" s="12">
        <v>5056.0</v>
      </c>
      <c r="R16" s="12">
        <v>57000.0</v>
      </c>
      <c r="S16" s="12">
        <v>0.0</v>
      </c>
      <c r="T16" s="14">
        <v>3216.0</v>
      </c>
      <c r="U16" s="14">
        <v>2482.0</v>
      </c>
      <c r="V16" s="15">
        <f t="shared" si="1"/>
        <v>0.7717661692</v>
      </c>
      <c r="W16" s="12">
        <f t="shared" si="2"/>
        <v>14</v>
      </c>
      <c r="X16" s="12">
        <v>35.0</v>
      </c>
    </row>
    <row r="17">
      <c r="A17" s="10" t="s">
        <v>36</v>
      </c>
      <c r="B17" s="11">
        <v>75148.0</v>
      </c>
      <c r="C17" s="11">
        <v>37200.0</v>
      </c>
      <c r="D17" s="11">
        <v>14164.0</v>
      </c>
      <c r="E17" s="11">
        <v>1215.0</v>
      </c>
      <c r="F17" s="11">
        <v>13206.0</v>
      </c>
      <c r="G17" s="11">
        <v>2938.0</v>
      </c>
      <c r="H17" s="11">
        <v>6425.0</v>
      </c>
      <c r="I17" s="12">
        <v>3201.0</v>
      </c>
      <c r="J17" s="12">
        <v>243.0</v>
      </c>
      <c r="K17" s="12">
        <v>48261.0</v>
      </c>
      <c r="L17" s="12">
        <v>205000.0</v>
      </c>
      <c r="M17" s="12">
        <v>3500.0</v>
      </c>
      <c r="N17" s="13">
        <v>59.0</v>
      </c>
      <c r="O17" s="13">
        <v>290.0</v>
      </c>
      <c r="P17" s="13">
        <v>4.0</v>
      </c>
      <c r="Q17" s="12">
        <v>6643.0</v>
      </c>
      <c r="R17" s="12">
        <v>90000.0</v>
      </c>
      <c r="S17" s="12">
        <v>0.0</v>
      </c>
      <c r="T17" s="14">
        <v>2454.0</v>
      </c>
      <c r="U17" s="14">
        <v>1760.0</v>
      </c>
      <c r="V17" s="15">
        <f t="shared" si="1"/>
        <v>0.717196414</v>
      </c>
      <c r="W17" s="12">
        <f t="shared" si="2"/>
        <v>23</v>
      </c>
      <c r="X17" s="12">
        <v>20.0</v>
      </c>
    </row>
    <row r="18">
      <c r="A18" s="10" t="s">
        <v>37</v>
      </c>
      <c r="B18" s="11">
        <v>73327.0</v>
      </c>
      <c r="C18" s="11">
        <v>21203.0</v>
      </c>
      <c r="D18" s="11">
        <v>17247.0</v>
      </c>
      <c r="E18" s="16">
        <v>900.0</v>
      </c>
      <c r="F18" s="11">
        <v>17371.0</v>
      </c>
      <c r="G18" s="11">
        <v>1690.0</v>
      </c>
      <c r="H18" s="11">
        <v>14916.0</v>
      </c>
      <c r="I18" s="12">
        <v>18888.0</v>
      </c>
      <c r="J18" s="12">
        <v>212.0</v>
      </c>
      <c r="K18" s="12">
        <v>47578.0</v>
      </c>
      <c r="L18" s="12">
        <v>175000.0</v>
      </c>
      <c r="M18" s="12">
        <v>3864.0</v>
      </c>
      <c r="N18" s="13">
        <v>84.0</v>
      </c>
      <c r="O18" s="13">
        <v>500.0</v>
      </c>
      <c r="P18" s="13">
        <v>3.0</v>
      </c>
      <c r="Q18" s="12">
        <v>8193.0</v>
      </c>
      <c r="R18" s="12">
        <v>100000.0</v>
      </c>
      <c r="S18" s="12">
        <v>0.0</v>
      </c>
      <c r="T18" s="14">
        <v>3891.0</v>
      </c>
      <c r="U18" s="14">
        <v>3033.0</v>
      </c>
      <c r="V18" s="15">
        <f t="shared" si="1"/>
        <v>0.7794911334</v>
      </c>
      <c r="W18" s="12">
        <f t="shared" si="2"/>
        <v>9</v>
      </c>
      <c r="X18" s="12">
        <v>28.0</v>
      </c>
    </row>
    <row r="19">
      <c r="A19" s="10" t="s">
        <v>38</v>
      </c>
      <c r="B19" s="11">
        <v>56770.0</v>
      </c>
      <c r="C19" s="11">
        <v>21814.0</v>
      </c>
      <c r="D19" s="11">
        <v>13072.0</v>
      </c>
      <c r="E19" s="11">
        <v>1431.0</v>
      </c>
      <c r="F19" s="11">
        <v>11232.0</v>
      </c>
      <c r="G19" s="11">
        <v>1644.0</v>
      </c>
      <c r="H19" s="11">
        <v>7577.0</v>
      </c>
      <c r="I19" s="12">
        <v>8643.0</v>
      </c>
      <c r="J19" s="12">
        <v>464.0</v>
      </c>
      <c r="K19" s="12">
        <v>44398.0</v>
      </c>
      <c r="L19" s="12">
        <v>106000.0</v>
      </c>
      <c r="M19" s="12">
        <v>2500.0</v>
      </c>
      <c r="N19" s="13">
        <v>74.0</v>
      </c>
      <c r="O19" s="13">
        <v>1250.0</v>
      </c>
      <c r="P19" s="13">
        <v>2.0</v>
      </c>
      <c r="Q19" s="12">
        <v>7189.0</v>
      </c>
      <c r="R19" s="12">
        <v>580000.0</v>
      </c>
      <c r="S19" s="12">
        <v>0.0</v>
      </c>
      <c r="T19" s="14">
        <v>2054.0</v>
      </c>
      <c r="U19" s="14">
        <v>1486.0</v>
      </c>
      <c r="V19" s="15">
        <f t="shared" si="1"/>
        <v>0.723466407</v>
      </c>
      <c r="W19" s="12">
        <f t="shared" si="2"/>
        <v>22</v>
      </c>
      <c r="X19" s="12">
        <v>23.0</v>
      </c>
    </row>
    <row r="20">
      <c r="A20" s="10" t="s">
        <v>39</v>
      </c>
      <c r="B20" s="11">
        <v>49443.0</v>
      </c>
      <c r="C20" s="11">
        <v>12038.0</v>
      </c>
      <c r="D20" s="11">
        <v>14558.0</v>
      </c>
      <c r="E20" s="16">
        <v>973.0</v>
      </c>
      <c r="F20" s="11">
        <v>11835.0</v>
      </c>
      <c r="G20" s="11">
        <v>1331.0</v>
      </c>
      <c r="H20" s="11">
        <v>8708.0</v>
      </c>
      <c r="I20" s="12">
        <v>22136.0</v>
      </c>
      <c r="J20" s="12">
        <v>107.0</v>
      </c>
      <c r="K20" s="12">
        <v>74490.0</v>
      </c>
      <c r="L20" s="12">
        <v>440000.0</v>
      </c>
      <c r="M20" s="12">
        <v>500.0</v>
      </c>
      <c r="N20" s="13">
        <v>130.0</v>
      </c>
      <c r="O20" s="13">
        <v>1000.0</v>
      </c>
      <c r="P20" s="13">
        <v>2.0</v>
      </c>
      <c r="Q20" s="12">
        <v>22020.0</v>
      </c>
      <c r="R20" s="12">
        <v>280000.0</v>
      </c>
      <c r="S20" s="12">
        <v>0.0</v>
      </c>
      <c r="T20" s="14">
        <v>3788.0</v>
      </c>
      <c r="U20" s="14">
        <v>2928.0</v>
      </c>
      <c r="V20" s="15">
        <f t="shared" si="1"/>
        <v>0.772967265</v>
      </c>
      <c r="W20" s="12">
        <f t="shared" si="2"/>
        <v>13</v>
      </c>
      <c r="X20" s="12">
        <v>29.0</v>
      </c>
    </row>
    <row r="21">
      <c r="A21" s="10" t="s">
        <v>40</v>
      </c>
      <c r="B21" s="11">
        <v>48442.0</v>
      </c>
      <c r="C21" s="11">
        <v>19626.0</v>
      </c>
      <c r="D21" s="11">
        <v>14912.0</v>
      </c>
      <c r="E21" s="16">
        <v>418.0</v>
      </c>
      <c r="F21" s="11">
        <v>4866.0</v>
      </c>
      <c r="G21" s="11">
        <v>1806.0</v>
      </c>
      <c r="H21" s="11">
        <v>6814.0</v>
      </c>
      <c r="I21" s="12">
        <v>5588.0</v>
      </c>
      <c r="J21" s="12">
        <v>115.0</v>
      </c>
      <c r="K21" s="12">
        <v>58086.0</v>
      </c>
      <c r="L21" s="12">
        <v>180000.0</v>
      </c>
      <c r="M21" s="12">
        <v>5000.0</v>
      </c>
      <c r="N21" s="13">
        <v>108.0</v>
      </c>
      <c r="O21" s="13">
        <v>1998.0</v>
      </c>
      <c r="P21" s="13">
        <v>3.0</v>
      </c>
      <c r="Q21" s="12">
        <v>12707.0</v>
      </c>
      <c r="R21" s="12">
        <v>120000.0</v>
      </c>
      <c r="S21" s="12">
        <v>0.0</v>
      </c>
      <c r="T21" s="14">
        <v>2117.0</v>
      </c>
      <c r="U21" s="14">
        <v>1510.0</v>
      </c>
      <c r="V21" s="15">
        <f t="shared" si="1"/>
        <v>0.7132735002</v>
      </c>
      <c r="W21" s="12">
        <f t="shared" si="2"/>
        <v>24</v>
      </c>
      <c r="X21" s="12">
        <v>18.0</v>
      </c>
    </row>
    <row r="22">
      <c r="A22" s="10" t="s">
        <v>41</v>
      </c>
      <c r="B22" s="11">
        <v>70230.0</v>
      </c>
      <c r="C22" s="11">
        <v>30463.0</v>
      </c>
      <c r="D22" s="11">
        <v>16704.0</v>
      </c>
      <c r="E22" s="11">
        <v>1980.0</v>
      </c>
      <c r="F22" s="11">
        <v>11911.0</v>
      </c>
      <c r="G22" s="11">
        <v>2693.0</v>
      </c>
      <c r="H22" s="11">
        <v>6479.0</v>
      </c>
      <c r="I22" s="12">
        <v>3095.0</v>
      </c>
      <c r="J22" s="12">
        <v>878.0</v>
      </c>
      <c r="K22" s="12">
        <v>37042.0</v>
      </c>
      <c r="L22" s="12">
        <v>120000.0</v>
      </c>
      <c r="M22" s="12">
        <v>2600.0</v>
      </c>
      <c r="N22" s="13">
        <v>64.0</v>
      </c>
      <c r="O22" s="13">
        <v>250.0</v>
      </c>
      <c r="P22" s="13">
        <v>4.0</v>
      </c>
      <c r="Q22" s="12">
        <v>6075.0</v>
      </c>
      <c r="R22" s="12">
        <v>70000.0</v>
      </c>
      <c r="S22" s="12">
        <v>0.0</v>
      </c>
      <c r="T22" s="14">
        <v>2184.0</v>
      </c>
      <c r="U22" s="14">
        <v>1749.0</v>
      </c>
      <c r="V22" s="15">
        <f t="shared" si="1"/>
        <v>0.8008241758</v>
      </c>
      <c r="W22" s="12">
        <f t="shared" si="2"/>
        <v>6</v>
      </c>
      <c r="X22" s="12">
        <v>39.0</v>
      </c>
    </row>
    <row r="23">
      <c r="A23" s="10" t="s">
        <v>42</v>
      </c>
      <c r="B23" s="11">
        <v>89720.0</v>
      </c>
      <c r="C23" s="11">
        <v>17678.0</v>
      </c>
      <c r="D23" s="11">
        <v>20090.0</v>
      </c>
      <c r="E23" s="16">
        <v>996.0</v>
      </c>
      <c r="F23" s="11">
        <v>31255.0</v>
      </c>
      <c r="G23" s="11">
        <v>2219.0</v>
      </c>
      <c r="H23" s="11">
        <v>17482.0</v>
      </c>
      <c r="I23" s="12">
        <v>28943.0</v>
      </c>
      <c r="J23" s="12">
        <v>44.0</v>
      </c>
      <c r="K23" s="12">
        <v>58781.0</v>
      </c>
      <c r="L23" s="12">
        <v>200000.0</v>
      </c>
      <c r="M23" s="12">
        <v>500.0</v>
      </c>
      <c r="N23" s="13">
        <v>85.0</v>
      </c>
      <c r="O23" s="13">
        <v>510.0</v>
      </c>
      <c r="P23" s="13">
        <v>2.0</v>
      </c>
      <c r="Q23" s="12">
        <v>16169.0</v>
      </c>
      <c r="R23" s="12">
        <v>120000.0</v>
      </c>
      <c r="S23" s="12">
        <v>0.0</v>
      </c>
      <c r="T23" s="14">
        <v>5174.0</v>
      </c>
      <c r="U23" s="14">
        <v>3790.0</v>
      </c>
      <c r="V23" s="15">
        <f t="shared" si="1"/>
        <v>0.7325086973</v>
      </c>
      <c r="W23" s="12">
        <f t="shared" si="2"/>
        <v>20</v>
      </c>
      <c r="X23" s="12">
        <v>50.0</v>
      </c>
    </row>
    <row r="24">
      <c r="A24" s="10" t="s">
        <v>43</v>
      </c>
      <c r="B24" s="11">
        <v>47886.0</v>
      </c>
      <c r="C24" s="11">
        <v>13423.0</v>
      </c>
      <c r="D24" s="11">
        <v>14036.0</v>
      </c>
      <c r="E24" s="11">
        <v>1003.0</v>
      </c>
      <c r="F24" s="11">
        <v>14668.0</v>
      </c>
      <c r="G24" s="16">
        <v>646.0</v>
      </c>
      <c r="H24" s="11">
        <v>4110.0</v>
      </c>
      <c r="I24" s="12">
        <v>7906.0</v>
      </c>
      <c r="J24" s="12">
        <v>230.0</v>
      </c>
      <c r="K24" s="12">
        <v>50714.0</v>
      </c>
      <c r="L24" s="12">
        <v>235000.0</v>
      </c>
      <c r="M24" s="12">
        <v>2000.0</v>
      </c>
      <c r="N24" s="13">
        <v>71.0</v>
      </c>
      <c r="O24" s="13">
        <v>360.0</v>
      </c>
      <c r="P24" s="13">
        <v>3.0</v>
      </c>
      <c r="Q24" s="12">
        <v>15347.0</v>
      </c>
      <c r="R24" s="12">
        <v>150000.0</v>
      </c>
      <c r="S24" s="12">
        <v>0.0</v>
      </c>
      <c r="T24" s="14">
        <v>3000.0</v>
      </c>
      <c r="U24" s="14">
        <v>2113.0</v>
      </c>
      <c r="V24" s="15">
        <f t="shared" si="1"/>
        <v>0.7043333333</v>
      </c>
      <c r="W24" s="12">
        <f t="shared" si="2"/>
        <v>25</v>
      </c>
      <c r="X24" s="12">
        <v>25.0</v>
      </c>
    </row>
    <row r="25">
      <c r="A25" s="10" t="s">
        <v>44</v>
      </c>
      <c r="B25" s="11">
        <v>79698.0</v>
      </c>
      <c r="C25" s="11">
        <v>21177.0</v>
      </c>
      <c r="D25" s="11">
        <v>17829.0</v>
      </c>
      <c r="E25" s="16">
        <v>606.0</v>
      </c>
      <c r="F25" s="11">
        <v>8553.0</v>
      </c>
      <c r="G25" s="11">
        <v>1917.0</v>
      </c>
      <c r="H25" s="11">
        <v>29616.0</v>
      </c>
      <c r="I25" s="12">
        <v>43192.0</v>
      </c>
      <c r="J25" s="12">
        <v>219.0</v>
      </c>
      <c r="K25" s="12">
        <v>45096.0</v>
      </c>
      <c r="L25" s="12">
        <v>210000.0</v>
      </c>
      <c r="M25" s="12">
        <v>4000.0</v>
      </c>
      <c r="N25" s="13">
        <v>65.0</v>
      </c>
      <c r="O25" s="13">
        <v>350.0</v>
      </c>
      <c r="P25" s="13">
        <v>0.0</v>
      </c>
      <c r="Q25" s="12">
        <v>10232.0</v>
      </c>
      <c r="R25" s="12">
        <v>105000.0</v>
      </c>
      <c r="S25" s="12">
        <v>0.0</v>
      </c>
      <c r="T25" s="14">
        <v>4167.0</v>
      </c>
      <c r="U25" s="14">
        <v>3347.0</v>
      </c>
      <c r="V25" s="15">
        <f t="shared" si="1"/>
        <v>0.8032157427</v>
      </c>
      <c r="W25" s="12">
        <f t="shared" si="2"/>
        <v>5</v>
      </c>
      <c r="X25" s="12">
        <v>48.0</v>
      </c>
    </row>
    <row r="26">
      <c r="A26" s="10" t="s">
        <v>45</v>
      </c>
      <c r="B26" s="11">
        <v>40445.0</v>
      </c>
      <c r="C26" s="11">
        <v>14963.0</v>
      </c>
      <c r="D26" s="11">
        <v>8556.0</v>
      </c>
      <c r="E26" s="16">
        <v>845.0</v>
      </c>
      <c r="F26" s="11">
        <v>9118.0</v>
      </c>
      <c r="G26" s="16">
        <v>642.0</v>
      </c>
      <c r="H26" s="11">
        <v>6321.0</v>
      </c>
      <c r="I26" s="12">
        <v>7762.0</v>
      </c>
      <c r="J26" s="12">
        <v>689.0</v>
      </c>
      <c r="K26" s="12">
        <v>45031.0</v>
      </c>
      <c r="L26" s="12">
        <v>260000.0</v>
      </c>
      <c r="M26" s="12">
        <v>4000.0</v>
      </c>
      <c r="N26" s="13">
        <v>133.0</v>
      </c>
      <c r="O26" s="13">
        <v>1600.0</v>
      </c>
      <c r="P26" s="13">
        <v>2.0</v>
      </c>
      <c r="Q26" s="12">
        <v>11975.0</v>
      </c>
      <c r="R26" s="12">
        <v>400000.0</v>
      </c>
      <c r="S26" s="12">
        <v>0.0</v>
      </c>
      <c r="T26" s="14">
        <v>3322.0</v>
      </c>
      <c r="U26" s="14">
        <v>2475.0</v>
      </c>
      <c r="V26" s="15">
        <f t="shared" si="1"/>
        <v>0.7450331126</v>
      </c>
      <c r="W26" s="12">
        <f t="shared" si="2"/>
        <v>18</v>
      </c>
      <c r="X26" s="12">
        <v>24.0</v>
      </c>
    </row>
    <row r="27">
      <c r="A27" s="10" t="s">
        <v>46</v>
      </c>
      <c r="B27" s="11">
        <v>70568.0</v>
      </c>
      <c r="C27" s="11">
        <v>19355.0</v>
      </c>
      <c r="D27" s="11">
        <v>14637.0</v>
      </c>
      <c r="E27" s="11">
        <v>1212.0</v>
      </c>
      <c r="F27" s="11">
        <v>23854.0</v>
      </c>
      <c r="G27" s="11">
        <v>1326.0</v>
      </c>
      <c r="H27" s="11">
        <v>10184.0</v>
      </c>
      <c r="I27" s="12">
        <v>11730.0</v>
      </c>
      <c r="J27" s="12">
        <v>346.0</v>
      </c>
      <c r="K27" s="12">
        <v>37828.0</v>
      </c>
      <c r="L27" s="12">
        <v>85000.0</v>
      </c>
      <c r="M27" s="12">
        <v>3000.0</v>
      </c>
      <c r="N27" s="13">
        <v>53.0</v>
      </c>
      <c r="O27" s="13">
        <v>255.0</v>
      </c>
      <c r="P27" s="13">
        <v>2.0</v>
      </c>
      <c r="Q27" s="12">
        <v>6759.0</v>
      </c>
      <c r="R27" s="12">
        <v>61000.0</v>
      </c>
      <c r="S27" s="12">
        <v>0.0</v>
      </c>
      <c r="T27" s="14">
        <v>3217.0</v>
      </c>
      <c r="U27" s="14">
        <v>2463.0</v>
      </c>
      <c r="V27" s="15">
        <f t="shared" si="1"/>
        <v>0.765620143</v>
      </c>
      <c r="W27" s="12">
        <f t="shared" si="2"/>
        <v>15</v>
      </c>
      <c r="X27" s="12">
        <v>32.0</v>
      </c>
    </row>
    <row r="28">
      <c r="A28" s="10" t="s">
        <v>47</v>
      </c>
      <c r="B28" s="11">
        <v>29779.0</v>
      </c>
      <c r="C28" s="11">
        <v>11500.0</v>
      </c>
      <c r="D28" s="11">
        <v>4551.0</v>
      </c>
      <c r="E28" s="11">
        <v>1198.0</v>
      </c>
      <c r="F28" s="11">
        <v>4654.0</v>
      </c>
      <c r="G28" s="16">
        <v>886.0</v>
      </c>
      <c r="H28" s="11">
        <v>6990.0</v>
      </c>
      <c r="I28" s="12">
        <v>6621.0</v>
      </c>
      <c r="J28" s="12">
        <v>411.0</v>
      </c>
      <c r="K28" s="12">
        <v>40531.0</v>
      </c>
      <c r="L28" s="12">
        <v>170000.0</v>
      </c>
      <c r="M28" s="12">
        <v>500.0</v>
      </c>
      <c r="N28" s="13">
        <v>81.0</v>
      </c>
      <c r="O28" s="13">
        <v>500.0</v>
      </c>
      <c r="P28" s="13">
        <v>4.0</v>
      </c>
      <c r="Q28" s="12">
        <v>8563.0</v>
      </c>
      <c r="R28" s="12">
        <v>105000.0</v>
      </c>
      <c r="S28" s="12">
        <v>0.0</v>
      </c>
      <c r="T28" s="14">
        <v>2765.0</v>
      </c>
      <c r="U28" s="14">
        <v>3248.0</v>
      </c>
      <c r="V28" s="15">
        <f t="shared" si="1"/>
        <v>1.174683544</v>
      </c>
      <c r="W28" s="12">
        <f t="shared" si="2"/>
        <v>1</v>
      </c>
      <c r="X28" s="12">
        <v>23.0</v>
      </c>
    </row>
    <row r="29">
      <c r="A29" s="10" t="s">
        <v>48</v>
      </c>
      <c r="B29" s="11">
        <v>28968.0</v>
      </c>
      <c r="C29" s="11">
        <v>7099.0</v>
      </c>
      <c r="D29" s="11">
        <v>9373.0</v>
      </c>
      <c r="E29" s="16">
        <v>460.0</v>
      </c>
      <c r="F29" s="11">
        <v>3613.0</v>
      </c>
      <c r="G29" s="16">
        <v>807.0</v>
      </c>
      <c r="H29" s="11">
        <v>7616.0</v>
      </c>
      <c r="I29" s="12">
        <v>8252.0</v>
      </c>
      <c r="J29" s="12">
        <v>77.0</v>
      </c>
      <c r="K29" s="12">
        <v>46692.0</v>
      </c>
      <c r="L29" s="12">
        <v>350000.0</v>
      </c>
      <c r="M29" s="12">
        <v>5000.0</v>
      </c>
      <c r="N29" s="13">
        <v>98.0</v>
      </c>
      <c r="O29" s="13">
        <v>440.0</v>
      </c>
      <c r="P29" s="13">
        <v>1.0</v>
      </c>
      <c r="Q29" s="12">
        <v>7958.0</v>
      </c>
      <c r="R29" s="12">
        <v>90000.0</v>
      </c>
      <c r="S29" s="12">
        <v>0.0</v>
      </c>
      <c r="T29" s="14">
        <v>2955.0</v>
      </c>
      <c r="U29" s="14">
        <v>2180.0</v>
      </c>
      <c r="V29" s="15">
        <f t="shared" si="1"/>
        <v>0.7377326565</v>
      </c>
      <c r="W29" s="12">
        <f t="shared" si="2"/>
        <v>19</v>
      </c>
      <c r="X29" s="12">
        <v>60.0</v>
      </c>
    </row>
    <row r="30">
      <c r="A30" s="10" t="s">
        <v>49</v>
      </c>
      <c r="B30" s="11">
        <v>69149.0</v>
      </c>
      <c r="C30" s="11">
        <v>32994.0</v>
      </c>
      <c r="D30" s="11">
        <v>14683.0</v>
      </c>
      <c r="E30" s="11">
        <v>1121.0</v>
      </c>
      <c r="F30" s="11">
        <v>12503.0</v>
      </c>
      <c r="G30" s="11">
        <v>1928.0</v>
      </c>
      <c r="H30" s="11">
        <v>5920.0</v>
      </c>
      <c r="I30" s="12">
        <v>7222.0</v>
      </c>
      <c r="J30" s="12">
        <v>132.0</v>
      </c>
      <c r="K30" s="12">
        <v>29922.0</v>
      </c>
      <c r="L30" s="12">
        <v>100000.0</v>
      </c>
      <c r="M30" s="12">
        <v>1000.0</v>
      </c>
      <c r="N30" s="13">
        <v>53.0</v>
      </c>
      <c r="O30" s="13">
        <v>330.0</v>
      </c>
      <c r="P30" s="13">
        <v>3.0</v>
      </c>
      <c r="Q30" s="12">
        <v>6884.0</v>
      </c>
      <c r="R30" s="12">
        <v>40000.0</v>
      </c>
      <c r="S30" s="12">
        <v>0.0</v>
      </c>
      <c r="T30" s="14">
        <v>3169.0</v>
      </c>
      <c r="U30" s="14">
        <v>2463.0</v>
      </c>
      <c r="V30" s="15">
        <f t="shared" si="1"/>
        <v>0.7772167876</v>
      </c>
      <c r="W30" s="12">
        <f t="shared" si="2"/>
        <v>10</v>
      </c>
      <c r="X30" s="12">
        <v>17.0</v>
      </c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1"/>
      <c r="X995" s="1"/>
    </row>
  </sheetData>
  <mergeCells count="10">
    <mergeCell ref="B3:H4"/>
    <mergeCell ref="I3:J4"/>
    <mergeCell ref="A3:A5"/>
    <mergeCell ref="K4:M4"/>
    <mergeCell ref="K3:M3"/>
    <mergeCell ref="N4:P4"/>
    <mergeCell ref="Q4:S4"/>
    <mergeCell ref="N3:S3"/>
    <mergeCell ref="T3:W4"/>
    <mergeCell ref="X3:X4"/>
  </mergeCells>
  <drawing r:id="rId1"/>
</worksheet>
</file>